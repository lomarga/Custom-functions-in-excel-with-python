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uan.munoz\Desktop\linearRegression\"/>
    </mc:Choice>
  </mc:AlternateContent>
  <xr:revisionPtr revIDLastSave="0" documentId="13_ncr:1_{0D4064F8-0C07-4997-9BAF-DEBE772E7AE8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coefficients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tercept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etrics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ed_lr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sme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core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6" i="1" l="1" a="1"/>
  <c r="G6" i="1"/>
  <c r="D21" i="1"/>
  <c r="D20" i="1"/>
  <c r="D19" i="1"/>
  <c r="D1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G5" i="1" a="1"/>
  <c r="G5" i="1"/>
  <c r="G4" i="1" a="1"/>
  <c r="G4" i="1"/>
  <c r="G3" i="1" a="1"/>
  <c r="G3" i="1"/>
  <c r="D26" i="1" a="1"/>
  <c r="D26" i="1"/>
  <c r="D25" i="1" a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<sst xmlns="http://schemas.openxmlformats.org/spreadsheetml/2006/main" count="28" uniqueCount="25">
  <si>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</si>
  <si>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</si>
  <si>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</si>
  <si>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</si>
  <si>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</si>
  <si>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</si>
  <si>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</si>
  <si>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</si>
  <si>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</si>
  <si>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</si>
  <si>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</si>
  <si>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</si>
  <si>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</si>
  <si>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</si>
  <si>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</si>
  <si>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x1</t>
  </si>
  <si>
    <t>x2</t>
  </si>
  <si>
    <t>x3</t>
  </si>
  <si>
    <t>y</t>
  </si>
  <si>
    <t>Intercept</t>
  </si>
  <si>
    <t>R2</t>
  </si>
  <si>
    <t>TEST - PREDICT</t>
  </si>
  <si>
    <t>TRAIN</t>
  </si>
  <si>
    <t>Coefficient</t>
  </si>
  <si>
    <t>RSME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</si>
</sst>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1" fontId="0" fillId="2" borderId="0" xfId="0" applyNumberFormat="1" applyFill="1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"/>
  <sheetViews>
    <sheetView tabSelected="1" workbookViewId="0">
      <selection activeCell="B2" sqref="B2"/>
    </sheetView>
  </sheetViews>
  <sheetFormatPr defaultColWidth="11" defaultRowHeight="15.6" x14ac:dyDescent="0.3"/>
  <sheetData>
    <row r="1" spans="1:9" x14ac:dyDescent="0.3">
      <c r="A1" s="6" t="s">
        <v>22</v>
      </c>
      <c r="B1" s="6"/>
      <c r="C1" s="6"/>
      <c r="D1" s="6"/>
    </row>
    <row r="2" spans="1:9" x14ac:dyDescent="0.3">
      <c r="A2" s="5" t="s">
        <v>15</v>
      </c>
      <c r="B2" s="5" t="s">
        <v>16</v>
      </c>
      <c r="C2" s="5" t="s">
        <v>17</v>
      </c>
      <c r="D2" s="5" t="s">
        <v>18</v>
      </c>
      <c r="G2" s="5" t="s">
        <v>15</v>
      </c>
      <c r="H2" s="5" t="s">
        <v>16</v>
      </c>
      <c r="I2" s="5" t="s">
        <v>17</v>
      </c>
    </row>
    <row r="3" spans="1:9" x14ac:dyDescent="0.3">
      <c r="A3">
        <v>47787</v>
      </c>
      <c r="B3">
        <v>2316</v>
      </c>
      <c r="C3">
        <v>603</v>
      </c>
      <c r="D3">
        <f>(A3+(2*B3)+(C3*3.5))-10000</f>
        <v>44529.5</v>
      </c>
      <c r="F3" s="5" t="s">
        <v>23</v>
      </c>
      <c r="G3" cm="1">
        <f t="array" ref="G3:I3">coefficients_lr(A3:C21,D3:D21)</f>
        <v>0.99999999999999978</v>
      </c>
      <c r="H3">
        <v>2.0000000000000018</v>
      </c>
      <c r="I3">
        <v>3.499999999999984</v>
      </c>
    </row>
    <row r="4" spans="1:9" x14ac:dyDescent="0.3">
      <c r="A4">
        <v>32709</v>
      </c>
      <c r="B4">
        <v>1106</v>
      </c>
      <c r="C4">
        <v>608</v>
      </c>
      <c r="D4">
        <f t="shared" ref="D4:D21" si="0">(A4+(2*B4)+(C4*3.5))-10000</f>
        <v>27049</v>
      </c>
      <c r="F4" s="5" t="s">
        <v>19</v>
      </c>
      <c r="G4" cm="1">
        <f t="array" ref="G4">intercept_lr(A3:C21,D3:D21)</f>
        <v>-9999.9999999999927</v>
      </c>
    </row>
    <row r="5" spans="1:9" x14ac:dyDescent="0.3">
      <c r="A5">
        <v>42690</v>
      </c>
      <c r="B5">
        <v>1996</v>
      </c>
      <c r="C5">
        <v>593</v>
      </c>
      <c r="D5">
        <f t="shared" si="0"/>
        <v>38757.5</v>
      </c>
      <c r="F5" s="5" t="s">
        <v>20</v>
      </c>
      <c r="G5" cm="1">
        <f t="array" ref="G5">score_lr(A3:C21,D3:D21)</f>
        <v>1</v>
      </c>
    </row>
    <row r="6" spans="1:9" x14ac:dyDescent="0.3">
      <c r="A6">
        <v>39381</v>
      </c>
      <c r="B6">
        <v>1692</v>
      </c>
      <c r="C6">
        <v>589</v>
      </c>
      <c r="D6">
        <f t="shared" si="0"/>
        <v>34826.5</v>
      </c>
      <c r="F6" s="5" t="s">
        <v>24</v>
      </c>
      <c r="G6" cm="1">
        <f t="array" ref="G6">rsme_lr(A3:C21,D3:D21)</f>
        <v>0</v>
      </c>
    </row>
    <row r="7" spans="1:9" x14ac:dyDescent="0.3">
      <c r="A7">
        <v>35156</v>
      </c>
      <c r="B7">
        <v>1903</v>
      </c>
      <c r="C7">
        <v>611</v>
      </c>
      <c r="D7">
        <f t="shared" si="0"/>
        <v>31100.5</v>
      </c>
    </row>
    <row r="8" spans="1:9" x14ac:dyDescent="0.3">
      <c r="A8">
        <v>38472</v>
      </c>
      <c r="B8">
        <v>2209</v>
      </c>
      <c r="C8">
        <v>610</v>
      </c>
      <c r="D8">
        <f t="shared" si="0"/>
        <v>35025</v>
      </c>
    </row>
    <row r="9" spans="1:9" x14ac:dyDescent="0.3">
      <c r="A9">
        <v>41329</v>
      </c>
      <c r="B9">
        <v>2435</v>
      </c>
      <c r="C9">
        <v>593</v>
      </c>
      <c r="D9">
        <f t="shared" si="0"/>
        <v>38274.5</v>
      </c>
    </row>
    <row r="10" spans="1:9" x14ac:dyDescent="0.3">
      <c r="A10">
        <v>37988</v>
      </c>
      <c r="B10">
        <v>1948</v>
      </c>
      <c r="C10">
        <v>615</v>
      </c>
      <c r="D10">
        <f t="shared" si="0"/>
        <v>34036.5</v>
      </c>
    </row>
    <row r="11" spans="1:9" x14ac:dyDescent="0.3">
      <c r="A11">
        <v>30995</v>
      </c>
      <c r="B11">
        <v>1788</v>
      </c>
      <c r="C11">
        <v>612</v>
      </c>
      <c r="D11">
        <f t="shared" si="0"/>
        <v>26713</v>
      </c>
    </row>
    <row r="12" spans="1:9" x14ac:dyDescent="0.3">
      <c r="A12">
        <v>42194</v>
      </c>
      <c r="B12">
        <v>2487</v>
      </c>
      <c r="C12">
        <v>609</v>
      </c>
      <c r="D12">
        <f t="shared" si="0"/>
        <v>39299.5</v>
      </c>
    </row>
    <row r="13" spans="1:9" x14ac:dyDescent="0.3">
      <c r="A13">
        <v>31152</v>
      </c>
      <c r="B13">
        <v>2146</v>
      </c>
      <c r="C13">
        <v>601</v>
      </c>
      <c r="D13">
        <f t="shared" si="0"/>
        <v>27547.5</v>
      </c>
    </row>
    <row r="14" spans="1:9" x14ac:dyDescent="0.3">
      <c r="A14">
        <v>40183</v>
      </c>
      <c r="B14">
        <v>2438</v>
      </c>
      <c r="C14">
        <v>612</v>
      </c>
      <c r="D14">
        <f t="shared" si="0"/>
        <v>37201</v>
      </c>
    </row>
    <row r="15" spans="1:9" x14ac:dyDescent="0.3">
      <c r="A15">
        <v>34167</v>
      </c>
      <c r="B15">
        <v>1061</v>
      </c>
      <c r="C15">
        <v>602</v>
      </c>
      <c r="D15">
        <f t="shared" si="0"/>
        <v>28396</v>
      </c>
    </row>
    <row r="16" spans="1:9" x14ac:dyDescent="0.3">
      <c r="A16">
        <v>49785</v>
      </c>
      <c r="B16">
        <v>2081</v>
      </c>
      <c r="C16">
        <v>595</v>
      </c>
      <c r="D16">
        <f t="shared" si="0"/>
        <v>46029.5</v>
      </c>
    </row>
    <row r="17" spans="1:4" x14ac:dyDescent="0.3">
      <c r="A17">
        <v>47798</v>
      </c>
      <c r="B17">
        <v>1054</v>
      </c>
      <c r="C17">
        <v>592</v>
      </c>
      <c r="D17">
        <f t="shared" si="0"/>
        <v>41978</v>
      </c>
    </row>
    <row r="18" spans="1:4" x14ac:dyDescent="0.3">
      <c r="A18">
        <v>37175</v>
      </c>
      <c r="B18">
        <v>1890</v>
      </c>
      <c r="C18">
        <v>596</v>
      </c>
      <c r="D18">
        <f t="shared" si="0"/>
        <v>33041</v>
      </c>
    </row>
    <row r="19" spans="1:4" x14ac:dyDescent="0.3">
      <c r="A19">
        <v>45127</v>
      </c>
      <c r="B19">
        <v>2297</v>
      </c>
      <c r="C19">
        <v>610</v>
      </c>
      <c r="D19">
        <f t="shared" si="0"/>
        <v>41856</v>
      </c>
    </row>
    <row r="20" spans="1:4" x14ac:dyDescent="0.3">
      <c r="A20">
        <v>38365</v>
      </c>
      <c r="B20">
        <v>1409</v>
      </c>
      <c r="C20">
        <v>609</v>
      </c>
      <c r="D20">
        <f t="shared" si="0"/>
        <v>33314.5</v>
      </c>
    </row>
    <row r="21" spans="1:4" x14ac:dyDescent="0.3">
      <c r="A21">
        <v>47253</v>
      </c>
      <c r="B21">
        <v>1854</v>
      </c>
      <c r="C21">
        <v>608</v>
      </c>
      <c r="D21">
        <f t="shared" si="0"/>
        <v>43089</v>
      </c>
    </row>
    <row r="24" spans="1:4" x14ac:dyDescent="0.3">
      <c r="A24" s="6" t="s">
        <v>21</v>
      </c>
      <c r="B24" s="6"/>
      <c r="C24" s="6"/>
      <c r="D24" s="6"/>
    </row>
    <row r="25" spans="1:4" x14ac:dyDescent="0.3">
      <c r="A25">
        <v>23676</v>
      </c>
      <c r="B25">
        <v>2334</v>
      </c>
      <c r="C25">
        <v>650</v>
      </c>
      <c r="D25" s="3" cm="1">
        <f t="array" ref="D25">pred_lr($A$3:$C$21,$D$3:$D$21,A25:C25)</f>
        <v>20618.999999999996</v>
      </c>
    </row>
    <row r="26" spans="1:4" x14ac:dyDescent="0.3">
      <c r="A26">
        <v>35267</v>
      </c>
      <c r="B26">
        <v>2359</v>
      </c>
      <c r="C26">
        <v>599</v>
      </c>
      <c r="D26" s="4" cm="1">
        <f t="array" ref="D26">pred_lr($A$3:$C$21,$D$3:$D$21,A26:C26)</f>
        <v>32081.5</v>
      </c>
    </row>
  </sheetData>
  <mergeCells count="2">
    <mergeCell ref="A24:D24"/>
    <mergeCell ref="A1:D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A9" sqref="A9"/>
    </sheetView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Juan Muñoz</cp:lastModifiedBy>
  <dcterms:created xsi:type="dcterms:W3CDTF">2015-01-25T11:31:25Z</dcterms:created>
  <dcterms:modified xsi:type="dcterms:W3CDTF">2022-02-11T03:33:08Z</dcterms:modified>
</cp:coreProperties>
</file>