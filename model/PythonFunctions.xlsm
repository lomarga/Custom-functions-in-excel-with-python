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uan.munoz\Documents\Python Scripts\PythonFunctionsExcel\"/>
    </mc:Choice>
  </mc:AlternateContent>
  <xr:revisionPtr revIDLastSave="0" documentId="13_ncr:1_{5267A21A-7AA4-4CE1-8189-F129C2F8DE69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LinearReg" sheetId="1" r:id="rId1"/>
    <sheet name="Kmeans" sheetId="3" r:id="rId2"/>
    <sheet name="_xlwings.conf" sheetId="2" r:id="rId3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oefficients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tercept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means_centroids">
          <x14:argumentDescriptions count="1">
            <x14:argumentDescription index="0">Select X_train with column names</x14:argumentDescription>
          </x14:argumentDescriptions>
        </x14:definedName>
        <x14:definedName name="kmeans_cluster">
          <x14:argumentDescriptions count="1">
            <x14:argumentDescription index="0">Select X_train</x14:argumentDescription>
          </x14:argumentDescriptions>
        </x14:definedName>
        <x14:definedName name="metrics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d_lr">
          <x14:argumentDescriptions count="3">
            <x14:argumentDescription index="0">Select X_train</x14:argumentDescription>
            <x14:argumentDescription index="1">Select y_train</x14:argumentDescription>
            <x14:argumentDescription index="2">Select X_test</x14:argumentDescription>
          </x14:argumentDescriptions>
        </x14:definedName>
        <x14:definedName name="rsme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core_l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3" l="1" a="1"/>
  <c r="G3" i="3"/>
  <c r="E3" i="3" a="1"/>
  <c r="E3" i="3"/>
  <c r="D25" i="1" a="1"/>
  <c r="D25" i="1"/>
  <c r="G6" i="1" a="1"/>
  <c r="G6" i="1"/>
  <c r="G5" i="1" a="1"/>
  <c r="G5" i="1"/>
  <c r="G4" i="1" a="1"/>
  <c r="G4" i="1"/>
  <c r="G3" i="1" a="1"/>
  <c r="G3" i="1"/>
  <c r="D26" i="1" a="1"/>
  <c r="D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Muñoz</author>
  </authors>
  <commentList>
    <comment ref="D25" authorId="0" shapeId="0" xr:uid="{4B4D9162-74EC-4178-B119-21C79BD37027}">
      <text>
        <r>
          <rPr>
            <sz val="9"/>
            <color indexed="81"/>
            <rFont val="Tahoma"/>
            <family val="2"/>
          </rPr>
          <t xml:space="preserve">use the pred_lr custom function to predict the new data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Muñoz</author>
  </authors>
  <commentList>
    <comment ref="H1" authorId="0" shapeId="0" xr:uid="{8C8A79BB-AE49-4B9D-8917-0296F3A0C7D6}">
      <text>
        <r>
          <rPr>
            <sz val="9"/>
            <color indexed="81"/>
            <rFont val="Tahoma"/>
            <family val="2"/>
          </rPr>
          <t xml:space="preserve">Don't move this cell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<sst xmlns="http://schemas.openxmlformats.org/spreadsheetml/2006/main" count="46" uniqueCount="43">
  <si>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</si>
  <si>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</si>
  <si>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</si>
  <si>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</si>
  <si>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</si>
  <si>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</si>
  <si>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</si>
  <si>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</si>
  <si>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</si>
  <si>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</si>
  <si>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</si>
  <si>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</si>
  <si>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</si>
  <si>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</si>
  <si>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</si>
  <si>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x1</t>
  </si>
  <si>
    <t>x2</t>
  </si>
  <si>
    <t>x3</t>
  </si>
  <si>
    <t>y</t>
  </si>
  <si>
    <t>Intercept</t>
  </si>
  <si>
    <t>R2</t>
  </si>
  <si>
    <t>TRAIN</t>
  </si>
  <si>
    <t>Coefficient</t>
  </si>
  <si>
    <t>RSME</t>
  </si>
  <si>
    <t>NEW - PREDICT</t>
  </si>
  <si>
    <t>Product</t>
  </si>
  <si>
    <t>a</t>
  </si>
  <si>
    <t>b</t>
  </si>
  <si>
    <t>c</t>
  </si>
  <si>
    <t>d</t>
  </si>
  <si>
    <t>Volume</t>
  </si>
  <si>
    <t>sales</t>
  </si>
  <si>
    <t>Cluster</t>
  </si>
  <si>
    <t>N Clusters</t>
  </si>
  <si>
    <t>e</t>
  </si>
  <si>
    <t>f</t>
  </si>
  <si>
    <t>g</t>
  </si>
  <si>
    <t>h</t>
  </si>
  <si>
    <t>i</t>
  </si>
  <si>
    <t>j</t>
  </si>
  <si>
    <t>k</t>
  </si>
  <si>
    <t>l</t>
  </si>
  <si>
    <t>Marketing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</si>
</sst>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" fontId="0" fillId="2" borderId="0" xfId="0" applyNumberFormat="1" applyFill="1"/>
    <xf numFmtId="0" fontId="1" fillId="0" borderId="0" xfId="0" applyFont="1"/>
    <xf numFmtId="2" fontId="0" fillId="0" borderId="0" xfId="0" applyNumberFormat="1"/>
    <xf numFmtId="0" fontId="0" fillId="2" borderId="0" xfId="0" applyFill="1"/>
    <xf numFmtId="0" fontId="1" fillId="3" borderId="0" xfId="0" applyFont="1" applyFill="1"/>
    <xf numFmtId="1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workbookViewId="0">
      <selection activeCell="D25" sqref="D25"/>
    </sheetView>
  </sheetViews>
  <sheetFormatPr defaultColWidth="11" defaultRowHeight="15.6" x14ac:dyDescent="0.3"/>
  <sheetData>
    <row r="1" spans="1:9" x14ac:dyDescent="0.3">
      <c r="A1" s="9" t="s">
        <v>21</v>
      </c>
      <c r="B1" s="9"/>
      <c r="C1" s="9"/>
      <c r="D1" s="9"/>
    </row>
    <row r="2" spans="1:9" x14ac:dyDescent="0.3">
      <c r="A2" s="4" t="s">
        <v>15</v>
      </c>
      <c r="B2" s="4" t="s">
        <v>16</v>
      </c>
      <c r="C2" s="4" t="s">
        <v>17</v>
      </c>
      <c r="D2" s="4" t="s">
        <v>18</v>
      </c>
      <c r="G2" s="4" t="s">
        <v>15</v>
      </c>
      <c r="H2" s="4" t="s">
        <v>16</v>
      </c>
      <c r="I2" s="4" t="s">
        <v>17</v>
      </c>
    </row>
    <row r="3" spans="1:9" x14ac:dyDescent="0.3">
      <c r="A3">
        <v>47787</v>
      </c>
      <c r="B3">
        <v>2316</v>
      </c>
      <c r="C3">
        <v>603</v>
      </c>
      <c r="D3">
        <v>43638.909999999996</v>
      </c>
      <c r="E3" s="5"/>
      <c r="F3" s="4" t="s">
        <v>22</v>
      </c>
      <c r="G3" cm="1">
        <f t="array" ref="G3:I3">coefficients_lr(A3:C21,D3:D21)</f>
        <v>1.4399862069820208</v>
      </c>
      <c r="H3">
        <v>1.9225193175167372</v>
      </c>
      <c r="I3">
        <v>10.643891629195107</v>
      </c>
    </row>
    <row r="4" spans="1:9" x14ac:dyDescent="0.3">
      <c r="A4">
        <v>32709</v>
      </c>
      <c r="B4">
        <v>1106</v>
      </c>
      <c r="C4">
        <v>608</v>
      </c>
      <c r="D4">
        <v>22721.16</v>
      </c>
      <c r="E4" s="5"/>
      <c r="F4" s="4" t="s">
        <v>19</v>
      </c>
      <c r="G4" cm="1">
        <f t="array" ref="G4">intercept_lr(A3:C21,D3:D21)</f>
        <v>-31510.992269506409</v>
      </c>
    </row>
    <row r="5" spans="1:9" x14ac:dyDescent="0.3">
      <c r="A5">
        <v>42690</v>
      </c>
      <c r="B5">
        <v>1996</v>
      </c>
      <c r="C5">
        <v>593</v>
      </c>
      <c r="D5">
        <v>45346.274999999994</v>
      </c>
      <c r="E5" s="5"/>
      <c r="F5" s="4" t="s">
        <v>20</v>
      </c>
      <c r="G5" cm="1">
        <f t="array" ref="G5">score_lr(A3:C21,D3:D21)</f>
        <v>0.81499999999999995</v>
      </c>
    </row>
    <row r="6" spans="1:9" x14ac:dyDescent="0.3">
      <c r="A6">
        <v>39381</v>
      </c>
      <c r="B6">
        <v>1692</v>
      </c>
      <c r="C6">
        <v>589</v>
      </c>
      <c r="D6">
        <v>29602.524999999998</v>
      </c>
      <c r="E6" s="5"/>
      <c r="F6" s="4" t="s">
        <v>23</v>
      </c>
      <c r="G6" cm="1">
        <f t="array" ref="G6">rsme_lr(A3:C21,D3:D21)</f>
        <v>3966.0149999999999</v>
      </c>
    </row>
    <row r="7" spans="1:9" x14ac:dyDescent="0.3">
      <c r="A7">
        <v>35156</v>
      </c>
      <c r="B7">
        <v>1903</v>
      </c>
      <c r="C7">
        <v>611</v>
      </c>
      <c r="D7">
        <v>27990.45</v>
      </c>
      <c r="E7" s="5"/>
    </row>
    <row r="8" spans="1:9" x14ac:dyDescent="0.3">
      <c r="A8">
        <v>38472</v>
      </c>
      <c r="B8">
        <v>2209</v>
      </c>
      <c r="C8">
        <v>610</v>
      </c>
      <c r="D8">
        <v>42030</v>
      </c>
      <c r="E8" s="5"/>
    </row>
    <row r="9" spans="1:9" x14ac:dyDescent="0.3">
      <c r="A9">
        <v>41329</v>
      </c>
      <c r="B9">
        <v>2435</v>
      </c>
      <c r="C9">
        <v>593</v>
      </c>
      <c r="D9">
        <v>34829.794999999998</v>
      </c>
      <c r="E9" s="5"/>
    </row>
    <row r="10" spans="1:9" x14ac:dyDescent="0.3">
      <c r="A10">
        <v>37988</v>
      </c>
      <c r="B10">
        <v>1948</v>
      </c>
      <c r="C10">
        <v>615</v>
      </c>
      <c r="D10">
        <v>36078.69</v>
      </c>
      <c r="E10" s="5"/>
    </row>
    <row r="11" spans="1:9" x14ac:dyDescent="0.3">
      <c r="A11">
        <v>30995</v>
      </c>
      <c r="B11">
        <v>1788</v>
      </c>
      <c r="C11">
        <v>612</v>
      </c>
      <c r="D11">
        <v>22171.789999999997</v>
      </c>
      <c r="E11" s="5"/>
    </row>
    <row r="12" spans="1:9" x14ac:dyDescent="0.3">
      <c r="A12">
        <v>42194</v>
      </c>
      <c r="B12">
        <v>2487</v>
      </c>
      <c r="C12">
        <v>609</v>
      </c>
      <c r="D12">
        <v>34976.555</v>
      </c>
      <c r="E12" s="5"/>
    </row>
    <row r="13" spans="1:9" x14ac:dyDescent="0.3">
      <c r="A13">
        <v>31152</v>
      </c>
      <c r="B13">
        <v>2146</v>
      </c>
      <c r="C13">
        <v>601</v>
      </c>
      <c r="D13">
        <v>26996.55</v>
      </c>
      <c r="E13" s="5"/>
    </row>
    <row r="14" spans="1:9" x14ac:dyDescent="0.3">
      <c r="A14">
        <v>40183</v>
      </c>
      <c r="B14">
        <v>2438</v>
      </c>
      <c r="C14">
        <v>612</v>
      </c>
      <c r="D14">
        <v>41293.11</v>
      </c>
      <c r="E14" s="5"/>
    </row>
    <row r="15" spans="1:9" x14ac:dyDescent="0.3">
      <c r="A15">
        <v>34167</v>
      </c>
      <c r="B15">
        <v>1061</v>
      </c>
      <c r="C15">
        <v>602</v>
      </c>
      <c r="D15">
        <v>24136.6</v>
      </c>
      <c r="E15" s="5"/>
    </row>
    <row r="16" spans="1:9" x14ac:dyDescent="0.3">
      <c r="A16">
        <v>49785</v>
      </c>
      <c r="B16">
        <v>2081</v>
      </c>
      <c r="C16">
        <v>595</v>
      </c>
      <c r="D16">
        <v>52473.63</v>
      </c>
      <c r="E16" s="5"/>
    </row>
    <row r="17" spans="1:5" x14ac:dyDescent="0.3">
      <c r="A17">
        <v>47798</v>
      </c>
      <c r="B17">
        <v>1054</v>
      </c>
      <c r="C17">
        <v>592</v>
      </c>
      <c r="D17">
        <v>48694.479999999996</v>
      </c>
      <c r="E17" s="5"/>
    </row>
    <row r="18" spans="1:5" x14ac:dyDescent="0.3">
      <c r="A18">
        <v>37175</v>
      </c>
      <c r="B18">
        <v>1890</v>
      </c>
      <c r="C18">
        <v>596</v>
      </c>
      <c r="D18">
        <v>35353.870000000003</v>
      </c>
      <c r="E18" s="5"/>
    </row>
    <row r="19" spans="1:5" x14ac:dyDescent="0.3">
      <c r="A19">
        <v>45127</v>
      </c>
      <c r="B19">
        <v>2297</v>
      </c>
      <c r="C19">
        <v>610</v>
      </c>
      <c r="D19">
        <v>39344.639999999999</v>
      </c>
      <c r="E19" s="5"/>
    </row>
    <row r="20" spans="1:5" x14ac:dyDescent="0.3">
      <c r="A20">
        <v>38365</v>
      </c>
      <c r="B20">
        <v>1409</v>
      </c>
      <c r="C20">
        <v>609</v>
      </c>
      <c r="D20">
        <v>28650.47</v>
      </c>
      <c r="E20" s="5"/>
    </row>
    <row r="21" spans="1:5" x14ac:dyDescent="0.3">
      <c r="A21">
        <v>47253</v>
      </c>
      <c r="B21">
        <v>1854</v>
      </c>
      <c r="C21">
        <v>608</v>
      </c>
      <c r="D21">
        <v>50414.13</v>
      </c>
      <c r="E21" s="5"/>
    </row>
    <row r="24" spans="1:5" x14ac:dyDescent="0.3">
      <c r="A24" s="9" t="s">
        <v>24</v>
      </c>
      <c r="B24" s="9"/>
      <c r="C24" s="9"/>
      <c r="D24" s="9"/>
    </row>
    <row r="25" spans="1:5" x14ac:dyDescent="0.3">
      <c r="A25">
        <v>23676</v>
      </c>
      <c r="B25">
        <v>2334</v>
      </c>
      <c r="C25">
        <v>650</v>
      </c>
      <c r="D25" s="3" cm="1">
        <f t="array" ref="D25">pred_lr($A$3:$C$21,$D$3:$D$21,A25:C25)</f>
        <v>13987.810813060802</v>
      </c>
    </row>
    <row r="26" spans="1:5" x14ac:dyDescent="0.3">
      <c r="A26">
        <v>35267</v>
      </c>
      <c r="B26">
        <v>2359</v>
      </c>
      <c r="C26">
        <v>599</v>
      </c>
      <c r="D26" s="3" cm="1">
        <f t="array" ref="D26">pred_lr($A$3:$C$21,$D$3:$D$21,A26:C26)</f>
        <v>30183.915448038373</v>
      </c>
    </row>
  </sheetData>
  <mergeCells count="2">
    <mergeCell ref="A24:D24"/>
    <mergeCell ref="A1:D1"/>
  </mergeCells>
  <pageMargins left="0.75" right="0.75" top="1" bottom="1" header="0.5" footer="0.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F4CA7-54B2-4EFF-822E-5C1D0F3A10EB}">
  <sheetPr codeName="Sheet3"/>
  <dimension ref="A1:J15"/>
  <sheetViews>
    <sheetView workbookViewId="0">
      <selection activeCell="E3" sqref="E3"/>
    </sheetView>
  </sheetViews>
  <sheetFormatPr defaultRowHeight="15.6" x14ac:dyDescent="0.3"/>
  <cols>
    <col min="4" max="4" width="11.19921875" customWidth="1"/>
    <col min="7" max="7" width="11" customWidth="1"/>
  </cols>
  <sheetData>
    <row r="1" spans="1:10" x14ac:dyDescent="0.3">
      <c r="G1" s="7" t="s">
        <v>33</v>
      </c>
      <c r="H1" s="7">
        <v>3</v>
      </c>
    </row>
    <row r="2" spans="1:10" x14ac:dyDescent="0.3">
      <c r="A2" t="s">
        <v>25</v>
      </c>
      <c r="B2" t="s">
        <v>30</v>
      </c>
      <c r="C2" t="s">
        <v>31</v>
      </c>
      <c r="D2" t="s">
        <v>42</v>
      </c>
      <c r="E2" t="s">
        <v>32</v>
      </c>
    </row>
    <row r="3" spans="1:10" x14ac:dyDescent="0.3">
      <c r="A3" t="s">
        <v>26</v>
      </c>
      <c r="B3" s="8">
        <v>500</v>
      </c>
      <c r="C3" s="8">
        <v>10000</v>
      </c>
      <c r="D3" s="8">
        <v>690</v>
      </c>
      <c r="E3" s="6" cm="1">
        <f t="array" ref="E3:E14">kmeans_cluster(B3:D14)</f>
        <v>2</v>
      </c>
      <c r="G3" s="7" t="str" cm="1">
        <f t="array" ref="G3:J6">kmeans_centroids(B2:D14)</f>
        <v>Centroids</v>
      </c>
      <c r="H3" t="str">
        <v>Volume</v>
      </c>
      <c r="I3" t="str">
        <v>sales</v>
      </c>
      <c r="J3" t="str">
        <v>Marketing Cost</v>
      </c>
    </row>
    <row r="4" spans="1:10" x14ac:dyDescent="0.3">
      <c r="A4" t="s">
        <v>27</v>
      </c>
      <c r="B4" s="8">
        <v>400</v>
      </c>
      <c r="C4" s="8">
        <v>8000</v>
      </c>
      <c r="D4" s="8">
        <v>590</v>
      </c>
      <c r="E4" s="6">
        <v>2</v>
      </c>
      <c r="G4">
        <v>0</v>
      </c>
      <c r="H4">
        <v>239.99999999999997</v>
      </c>
      <c r="I4">
        <v>2040</v>
      </c>
      <c r="J4">
        <v>272</v>
      </c>
    </row>
    <row r="5" spans="1:10" x14ac:dyDescent="0.3">
      <c r="A5" t="s">
        <v>28</v>
      </c>
      <c r="B5" s="8">
        <v>500</v>
      </c>
      <c r="C5" s="8">
        <v>12000</v>
      </c>
      <c r="D5" s="8">
        <v>1200</v>
      </c>
      <c r="E5" s="6">
        <v>2</v>
      </c>
      <c r="G5">
        <v>1</v>
      </c>
      <c r="H5">
        <v>600</v>
      </c>
      <c r="I5">
        <v>50000</v>
      </c>
      <c r="J5">
        <v>18500</v>
      </c>
    </row>
    <row r="6" spans="1:10" x14ac:dyDescent="0.3">
      <c r="A6" t="s">
        <v>29</v>
      </c>
      <c r="B6" s="8">
        <v>100</v>
      </c>
      <c r="C6" s="8">
        <v>500</v>
      </c>
      <c r="D6" s="8">
        <v>100</v>
      </c>
      <c r="E6" s="6">
        <v>0</v>
      </c>
      <c r="G6">
        <v>2</v>
      </c>
      <c r="H6">
        <v>520</v>
      </c>
      <c r="I6">
        <v>10000</v>
      </c>
      <c r="J6">
        <v>3022</v>
      </c>
    </row>
    <row r="7" spans="1:10" x14ac:dyDescent="0.3">
      <c r="A7" t="s">
        <v>34</v>
      </c>
      <c r="B7" s="8">
        <v>100</v>
      </c>
      <c r="C7" s="8">
        <v>1000</v>
      </c>
      <c r="D7" s="8">
        <v>400</v>
      </c>
      <c r="E7" s="6">
        <v>0</v>
      </c>
    </row>
    <row r="8" spans="1:10" x14ac:dyDescent="0.3">
      <c r="A8" t="s">
        <v>35</v>
      </c>
      <c r="B8" s="8">
        <v>200</v>
      </c>
      <c r="C8" s="8">
        <v>50000</v>
      </c>
      <c r="D8" s="8">
        <v>22000</v>
      </c>
      <c r="E8" s="6">
        <v>1</v>
      </c>
    </row>
    <row r="9" spans="1:10" x14ac:dyDescent="0.3">
      <c r="A9" t="s">
        <v>36</v>
      </c>
      <c r="B9" s="8">
        <v>100</v>
      </c>
      <c r="C9" s="8">
        <v>600</v>
      </c>
      <c r="D9" s="8">
        <v>200</v>
      </c>
      <c r="E9" s="6">
        <v>0</v>
      </c>
    </row>
    <row r="10" spans="1:10" x14ac:dyDescent="0.3">
      <c r="A10" t="s">
        <v>37</v>
      </c>
      <c r="B10" s="8">
        <v>500</v>
      </c>
      <c r="C10" s="8">
        <v>8000</v>
      </c>
      <c r="D10" s="8">
        <v>630</v>
      </c>
      <c r="E10" s="6">
        <v>2</v>
      </c>
    </row>
    <row r="11" spans="1:10" x14ac:dyDescent="0.3">
      <c r="A11" t="s">
        <v>38</v>
      </c>
      <c r="B11" s="8">
        <v>500</v>
      </c>
      <c r="C11" s="8">
        <v>2200</v>
      </c>
      <c r="D11" s="8">
        <v>100</v>
      </c>
      <c r="E11" s="6">
        <v>0</v>
      </c>
    </row>
    <row r="12" spans="1:10" x14ac:dyDescent="0.3">
      <c r="A12" t="s">
        <v>39</v>
      </c>
      <c r="B12" s="8">
        <v>400</v>
      </c>
      <c r="C12" s="8">
        <v>5900</v>
      </c>
      <c r="D12" s="8">
        <v>560</v>
      </c>
      <c r="E12" s="6">
        <v>0</v>
      </c>
    </row>
    <row r="13" spans="1:10" x14ac:dyDescent="0.3">
      <c r="A13" t="s">
        <v>40</v>
      </c>
      <c r="B13" s="8">
        <v>700</v>
      </c>
      <c r="C13" s="8">
        <v>12000</v>
      </c>
      <c r="D13" s="8">
        <v>12000</v>
      </c>
      <c r="E13" s="6">
        <v>2</v>
      </c>
    </row>
    <row r="14" spans="1:10" x14ac:dyDescent="0.3">
      <c r="A14" t="s">
        <v>41</v>
      </c>
      <c r="B14" s="8">
        <v>1000</v>
      </c>
      <c r="C14" s="8">
        <v>50000</v>
      </c>
      <c r="D14" s="8">
        <v>15000</v>
      </c>
      <c r="E14" s="6">
        <v>1</v>
      </c>
    </row>
    <row r="15" spans="1:10" x14ac:dyDescent="0.3">
      <c r="B15" s="8"/>
      <c r="C15" s="8"/>
      <c r="D15" s="8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A9" sqref="A9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LinearReg</vt:lpstr>
      <vt:lpstr>Kmeans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Juan Muñoz</cp:lastModifiedBy>
  <dcterms:created xsi:type="dcterms:W3CDTF">2015-01-25T11:31:25Z</dcterms:created>
  <dcterms:modified xsi:type="dcterms:W3CDTF">2022-02-13T18:41:31Z</dcterms:modified>
</cp:coreProperties>
</file>